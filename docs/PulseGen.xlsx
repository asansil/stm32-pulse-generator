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dres\Labs\Projects\SmartMotion\stm32-pulse-generator\docs\"/>
    </mc:Choice>
  </mc:AlternateContent>
  <xr:revisionPtr revIDLastSave="0" documentId="13_ncr:1_{F2C8F9F4-E26E-42F3-B34C-7B6D9A6C9D11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Pulse Generator" sheetId="5" r:id="rId1"/>
    <sheet name="Clock Config" sheetId="6" r:id="rId2"/>
  </sheets>
  <definedNames>
    <definedName name="A10000000">#REF!</definedName>
    <definedName name="A100000000">#REF!</definedName>
    <definedName name="A429496729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6" l="1"/>
  <c r="B4" i="6"/>
  <c r="B10" i="5"/>
  <c r="B13" i="5"/>
  <c r="B10" i="6" l="1"/>
  <c r="B11" i="6"/>
  <c r="B9" i="6"/>
  <c r="B8" i="6"/>
  <c r="B11" i="5"/>
  <c r="B12" i="5" s="1"/>
  <c r="F4" i="5" s="1"/>
  <c r="F5" i="5" s="1"/>
  <c r="B16" i="5" l="1"/>
  <c r="B15" i="5"/>
  <c r="B14" i="5"/>
  <c r="B18" i="5" l="1"/>
  <c r="B17" i="5"/>
  <c r="F6" i="5"/>
  <c r="B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Sanchez</author>
  </authors>
  <commentList>
    <comment ref="A11" authorId="0" shapeId="0" xr:uid="{37656C31-CC7A-47CC-80BA-2B3D632CF0BA}">
      <text>
        <r>
          <rPr>
            <b/>
            <sz val="9"/>
            <color indexed="81"/>
            <rFont val="Tahoma"/>
            <family val="2"/>
          </rPr>
          <t>Andres Sanchez:</t>
        </r>
        <r>
          <rPr>
            <sz val="9"/>
            <color indexed="81"/>
            <rFont val="Tahoma"/>
            <family val="2"/>
          </rPr>
          <t xml:space="preserve">
The prescaler to be applied must be an integer greater than the calculated value, ensuring that the achievable pulse frequency does not exceed the specified maximum under any circumstances.</t>
        </r>
      </text>
    </comment>
  </commentList>
</comments>
</file>

<file path=xl/sharedStrings.xml><?xml version="1.0" encoding="utf-8"?>
<sst xmlns="http://schemas.openxmlformats.org/spreadsheetml/2006/main" count="56" uniqueCount="29">
  <si>
    <t>Timer Main Clock Frequency (CK_PSC)</t>
  </si>
  <si>
    <t>Timer Count Clock Frequency (CK_CNT)</t>
  </si>
  <si>
    <t>Hz</t>
  </si>
  <si>
    <t>-</t>
  </si>
  <si>
    <t>Timer Resolution</t>
  </si>
  <si>
    <t>bits</t>
  </si>
  <si>
    <t>Timer Prescaler (TIMx_PSC)</t>
  </si>
  <si>
    <t>Real TIMx_PSC</t>
  </si>
  <si>
    <t>CALCULATOR</t>
  </si>
  <si>
    <t>ΔCCR</t>
  </si>
  <si>
    <t>TIMx_ARR</t>
  </si>
  <si>
    <t>PULSE GENERATOR INIT</t>
  </si>
  <si>
    <t>MaxPulseFreq</t>
  </si>
  <si>
    <t>PULSE GENERATOR</t>
  </si>
  <si>
    <t>MinΔCCR</t>
  </si>
  <si>
    <t>Real MaxPulseFreq (@ΔCCR=1)</t>
  </si>
  <si>
    <t>Reachable MaxPulseFreq (@ΔCCR=MinΔCCR)</t>
  </si>
  <si>
    <t>Reachable MinPulseFreq (@ΔCCR=TIMx_ARR)</t>
  </si>
  <si>
    <t>Worst Pulse Frequency resolution (@MinΔCCR)</t>
  </si>
  <si>
    <t>Best Pulse Frequency resolution (@ΔCCR=0)</t>
  </si>
  <si>
    <t>Worst Pulse Frequency resolution (@ΔCCR=1)</t>
  </si>
  <si>
    <t>Target Pulse Frequency</t>
  </si>
  <si>
    <t>Reached Pulse Frequency</t>
  </si>
  <si>
    <t>Pulse Frequency Reslolution</t>
  </si>
  <si>
    <t>Timer Counter Frequency (CK_CNT)</t>
  </si>
  <si>
    <t xml:space="preserve">Maximum Pulse Frequency </t>
  </si>
  <si>
    <t>Minimum Pulse Frequency</t>
  </si>
  <si>
    <t>Best Frequency Resolution</t>
  </si>
  <si>
    <t>Worst Frequency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</si>
</sst>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0DED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6" borderId="0" xfId="0" applyFill="1" applyProtection="1"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6" borderId="0" xfId="0" applyFill="1" applyAlignment="1" applyProtection="1">
      <alignment vertical="center"/>
      <protection locked="0"/>
    </xf>
    <xf numFmtId="0" fontId="0" fillId="2" borderId="1" xfId="0" applyFill="1" applyBorder="1" applyAlignment="1">
      <alignment vertical="center"/>
    </xf>
    <xf numFmtId="49" fontId="2" fillId="0" borderId="0" xfId="0" applyNumberFormat="1" applyFont="1"/>
    <xf numFmtId="0" fontId="0" fillId="7" borderId="0" xfId="0" applyFill="1"/>
    <xf numFmtId="49" fontId="2" fillId="7" borderId="0" xfId="0" applyNumberFormat="1" applyFont="1" applyFill="1"/>
    <xf numFmtId="0" fontId="0" fillId="9" borderId="0" xfId="0" applyFill="1"/>
    <xf numFmtId="49" fontId="2" fillId="9" borderId="0" xfId="0" applyNumberFormat="1" applyFont="1" applyFill="1"/>
    <xf numFmtId="0" fontId="0" fillId="10" borderId="0" xfId="0" applyFill="1" applyProtection="1">
      <protection locked="0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0" fillId="7" borderId="0" xfId="0" applyFill="1" applyAlignment="1">
      <alignment horizontal="right"/>
    </xf>
    <xf numFmtId="49" fontId="0" fillId="5" borderId="0" xfId="0" applyNumberFormat="1" applyFill="1" applyAlignment="1">
      <alignment horizontal="left" vertical="center"/>
    </xf>
    <xf numFmtId="49" fontId="2" fillId="5" borderId="0" xfId="0" applyNumberFormat="1" applyFont="1" applyFill="1" applyAlignment="1">
      <alignment vertical="center"/>
    </xf>
    <xf numFmtId="49" fontId="0" fillId="5" borderId="0" xfId="0" applyNumberFormat="1" applyFill="1" applyAlignment="1">
      <alignment horizontal="left"/>
    </xf>
    <xf numFmtId="49" fontId="2" fillId="5" borderId="0" xfId="0" applyNumberFormat="1" applyFont="1" applyFill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2" fillId="2" borderId="0" xfId="0" applyNumberFormat="1" applyFont="1" applyFill="1" applyAlignment="1">
      <alignment vertical="center"/>
    </xf>
    <xf numFmtId="49" fontId="0" fillId="2" borderId="1" xfId="0" applyNumberForma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vertical="center"/>
    </xf>
    <xf numFmtId="49" fontId="0" fillId="2" borderId="1" xfId="0" applyNumberFormat="1" applyFill="1" applyBorder="1" applyAlignment="1">
      <alignment horizontal="left" vertical="center" wrapText="1"/>
    </xf>
    <xf numFmtId="49" fontId="0" fillId="2" borderId="0" xfId="0" applyNumberFormat="1" applyFill="1" applyAlignment="1">
      <alignment horizontal="left" vertical="center" wrapText="1"/>
    </xf>
    <xf numFmtId="0" fontId="0" fillId="5" borderId="0" xfId="0" applyFill="1"/>
    <xf numFmtId="0" fontId="1" fillId="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ADBC-A422-416C-B596-3C9E42FC6D5E}">
  <dimension ref="A1:G19"/>
  <sheetViews>
    <sheetView topLeftCell="A2" workbookViewId="0">
      <selection activeCell="B18" sqref="B18"/>
    </sheetView>
  </sheetViews>
  <sheetFormatPr baseColWidth="10" defaultRowHeight="15" x14ac:dyDescent="0.25"/>
  <cols>
    <col min="1" max="1" width="40.5703125" style="12" customWidth="1"/>
    <col min="2" max="2" width="12" style="2" bestFit="1" customWidth="1"/>
    <col min="3" max="3" width="11.5703125" style="13"/>
    <col min="5" max="5" width="23" customWidth="1"/>
    <col min="6" max="6" width="15.28515625" bestFit="1" customWidth="1"/>
    <col min="7" max="7" width="11.5703125" style="6"/>
    <col min="11" max="11" width="12" bestFit="1" customWidth="1"/>
  </cols>
  <sheetData>
    <row r="1" spans="1:7" x14ac:dyDescent="0.25">
      <c r="G1"/>
    </row>
    <row r="2" spans="1:7" x14ac:dyDescent="0.25">
      <c r="A2" s="30" t="s">
        <v>11</v>
      </c>
      <c r="B2" s="30"/>
      <c r="C2" s="30"/>
      <c r="E2" s="29" t="s">
        <v>8</v>
      </c>
      <c r="F2" s="29"/>
      <c r="G2" s="29"/>
    </row>
    <row r="3" spans="1:7" x14ac:dyDescent="0.25">
      <c r="A3" s="15" t="s">
        <v>0</v>
      </c>
      <c r="B3" s="4">
        <v>84000000</v>
      </c>
      <c r="C3" s="16" t="s">
        <v>2</v>
      </c>
      <c r="E3" s="9" t="s">
        <v>21</v>
      </c>
      <c r="F3" s="11">
        <v>10000</v>
      </c>
      <c r="G3" s="10" t="s">
        <v>2</v>
      </c>
    </row>
    <row r="4" spans="1:7" x14ac:dyDescent="0.25">
      <c r="A4" s="17" t="s">
        <v>4</v>
      </c>
      <c r="B4" s="1">
        <v>16</v>
      </c>
      <c r="C4" s="18" t="s">
        <v>5</v>
      </c>
      <c r="E4" s="7" t="s">
        <v>9</v>
      </c>
      <c r="F4" s="14">
        <f>INT($B$12/2/$F$3)</f>
        <v>2100</v>
      </c>
      <c r="G4" s="8" t="s">
        <v>3</v>
      </c>
    </row>
    <row r="5" spans="1:7" x14ac:dyDescent="0.25">
      <c r="A5" s="15" t="s">
        <v>12</v>
      </c>
      <c r="B5" s="4">
        <v>250000</v>
      </c>
      <c r="C5" s="16" t="s">
        <v>2</v>
      </c>
      <c r="E5" s="7" t="s">
        <v>22</v>
      </c>
      <c r="F5" s="14">
        <f>B12/2/F4</f>
        <v>10000</v>
      </c>
      <c r="G5" s="8" t="s">
        <v>2</v>
      </c>
    </row>
    <row r="6" spans="1:7" x14ac:dyDescent="0.25">
      <c r="A6" s="15" t="s">
        <v>14</v>
      </c>
      <c r="B6" s="4">
        <v>100</v>
      </c>
      <c r="C6" s="16" t="s">
        <v>3</v>
      </c>
      <c r="E6" s="7" t="s">
        <v>23</v>
      </c>
      <c r="F6" s="7">
        <f>$B$14*(1/$F$4-1/($F$4+1))</f>
        <v>4.7596382674919866</v>
      </c>
      <c r="G6" s="8" t="s">
        <v>2</v>
      </c>
    </row>
    <row r="7" spans="1:7" x14ac:dyDescent="0.25">
      <c r="A7" s="19"/>
      <c r="B7"/>
      <c r="C7" s="20"/>
      <c r="G7"/>
    </row>
    <row r="8" spans="1:7" x14ac:dyDescent="0.25">
      <c r="A8" s="19"/>
      <c r="B8"/>
      <c r="C8" s="20"/>
      <c r="G8"/>
    </row>
    <row r="9" spans="1:7" x14ac:dyDescent="0.25">
      <c r="A9" s="28" t="s">
        <v>13</v>
      </c>
      <c r="B9" s="28"/>
      <c r="C9" s="28"/>
      <c r="G9"/>
    </row>
    <row r="10" spans="1:7" x14ac:dyDescent="0.25">
      <c r="A10" s="21" t="s">
        <v>6</v>
      </c>
      <c r="B10" s="3">
        <f>$B$3/($B$5*2)/$B$6-1</f>
        <v>0.67999999999999994</v>
      </c>
      <c r="C10" s="22" t="s">
        <v>3</v>
      </c>
    </row>
    <row r="11" spans="1:7" x14ac:dyDescent="0.25">
      <c r="A11" s="21" t="s">
        <v>7</v>
      </c>
      <c r="B11" s="3">
        <f>MAX(0, ROUNDUP(B10,0))</f>
        <v>1</v>
      </c>
      <c r="C11" s="22" t="s">
        <v>3</v>
      </c>
    </row>
    <row r="12" spans="1:7" x14ac:dyDescent="0.25">
      <c r="A12" s="21" t="s">
        <v>1</v>
      </c>
      <c r="B12" s="3">
        <f>$B$3/($B$11+1)</f>
        <v>42000000</v>
      </c>
      <c r="C12" s="22" t="s">
        <v>2</v>
      </c>
    </row>
    <row r="13" spans="1:7" ht="15.75" thickBot="1" x14ac:dyDescent="0.3">
      <c r="A13" s="23" t="s">
        <v>10</v>
      </c>
      <c r="B13" s="5">
        <f>2^B4-1</f>
        <v>65535</v>
      </c>
      <c r="C13" s="24" t="s">
        <v>3</v>
      </c>
    </row>
    <row r="14" spans="1:7" x14ac:dyDescent="0.25">
      <c r="A14" s="21" t="s">
        <v>15</v>
      </c>
      <c r="B14" s="3">
        <f>B12/2</f>
        <v>21000000</v>
      </c>
      <c r="C14" s="22" t="s">
        <v>2</v>
      </c>
    </row>
    <row r="15" spans="1:7" x14ac:dyDescent="0.25">
      <c r="A15" s="21" t="s">
        <v>16</v>
      </c>
      <c r="B15" s="3">
        <f>$B$12/2/$B$6</f>
        <v>210000</v>
      </c>
      <c r="C15" s="22"/>
    </row>
    <row r="16" spans="1:7" ht="30.75" thickBot="1" x14ac:dyDescent="0.3">
      <c r="A16" s="25" t="s">
        <v>17</v>
      </c>
      <c r="B16" s="5">
        <f>$B$12/$B$13/2</f>
        <v>320.43945983062486</v>
      </c>
      <c r="C16" s="24" t="s">
        <v>2</v>
      </c>
    </row>
    <row r="17" spans="1:3" ht="15" customHeight="1" x14ac:dyDescent="0.25">
      <c r="A17" s="26" t="s">
        <v>20</v>
      </c>
      <c r="B17" s="3">
        <f>$B$14*(1/1-1/(1+1))</f>
        <v>10500000</v>
      </c>
      <c r="C17" s="22" t="s">
        <v>2</v>
      </c>
    </row>
    <row r="18" spans="1:3" ht="15" customHeight="1" x14ac:dyDescent="0.25">
      <c r="A18" s="26" t="s">
        <v>18</v>
      </c>
      <c r="B18" s="3">
        <f>$B$14*(1/$B$6-1/($B$6+1))</f>
        <v>2079.207920792081</v>
      </c>
      <c r="C18" s="22" t="s">
        <v>2</v>
      </c>
    </row>
    <row r="19" spans="1:3" ht="15" customHeight="1" x14ac:dyDescent="0.25">
      <c r="A19" s="26" t="s">
        <v>19</v>
      </c>
      <c r="B19" s="3">
        <f>$B$14*(1/$B$13-1/($B$13+1))</f>
        <v>4.8895181248569293E-3</v>
      </c>
      <c r="C19" s="22" t="s">
        <v>2</v>
      </c>
    </row>
  </sheetData>
  <mergeCells count="3">
    <mergeCell ref="A9:C9"/>
    <mergeCell ref="E2:G2"/>
    <mergeCell ref="A2:C2"/>
  </mergeCells>
  <conditionalFormatting sqref="B5">
    <cfRule type="cellIs" dxfId="3" priority="2" operator="greaterThan">
      <formula>$B$3/2</formula>
    </cfRule>
    <cfRule type="cellIs" dxfId="2" priority="3" operator="lessThanOrEqual">
      <formula>0</formula>
    </cfRule>
  </conditionalFormatting>
  <conditionalFormatting sqref="B10">
    <cfRule type="cellIs" dxfId="1" priority="4" operator="lessThan">
      <formula>0</formula>
    </cfRule>
  </conditionalFormatting>
  <conditionalFormatting sqref="B11">
    <cfRule type="cellIs" dxfId="0" priority="1" operator="notBetween">
      <formula>0</formula>
      <formula>"2^16-1"</formula>
    </cfRule>
  </conditionalFormatting>
  <dataValidations count="2">
    <dataValidation type="list" operator="equal" allowBlank="1" showInputMessage="1" showErrorMessage="1" sqref="B4" xr:uid="{AFAD3454-7B5B-4901-93F8-530655431395}">
      <formula1>"16,32"</formula1>
    </dataValidation>
    <dataValidation type="decimal" allowBlank="1" showInputMessage="1" showErrorMessage="1" errorTitle="Frequency out of range" error="The frequency must be between the maximum and minimum achievable values." sqref="F3" xr:uid="{77B943D6-E31A-40BE-8C0B-D151B25D1763}">
      <formula1>B16</formula1>
      <formula2>B15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04C3-89BB-4420-991A-9D16663FD1C9}">
  <dimension ref="A3:C11"/>
  <sheetViews>
    <sheetView tabSelected="1" workbookViewId="0">
      <selection activeCell="B11" sqref="B11"/>
    </sheetView>
  </sheetViews>
  <sheetFormatPr baseColWidth="10" defaultRowHeight="15" x14ac:dyDescent="0.25"/>
  <cols>
    <col min="1" max="1" width="36.140625" customWidth="1"/>
    <col min="2" max="2" width="12.7109375" bestFit="1" customWidth="1"/>
  </cols>
  <sheetData>
    <row r="3" spans="1:3" x14ac:dyDescent="0.25">
      <c r="A3" s="17" t="s">
        <v>4</v>
      </c>
      <c r="B3" s="1">
        <v>16</v>
      </c>
      <c r="C3" s="18" t="s">
        <v>5</v>
      </c>
    </row>
    <row r="4" spans="1:3" x14ac:dyDescent="0.25">
      <c r="A4" s="27" t="s">
        <v>10</v>
      </c>
      <c r="B4" s="27">
        <f>2^B3-1</f>
        <v>65535</v>
      </c>
      <c r="C4" s="27" t="s">
        <v>3</v>
      </c>
    </row>
    <row r="5" spans="1:3" x14ac:dyDescent="0.25">
      <c r="A5" s="15" t="s">
        <v>0</v>
      </c>
      <c r="B5" s="4">
        <v>84000000</v>
      </c>
      <c r="C5" s="16" t="s">
        <v>2</v>
      </c>
    </row>
    <row r="6" spans="1:3" x14ac:dyDescent="0.25">
      <c r="A6" s="15" t="s">
        <v>6</v>
      </c>
      <c r="B6" s="4">
        <v>83</v>
      </c>
      <c r="C6" s="16" t="s">
        <v>3</v>
      </c>
    </row>
    <row r="7" spans="1:3" x14ac:dyDescent="0.25">
      <c r="A7" s="15" t="s">
        <v>24</v>
      </c>
      <c r="B7" s="27">
        <f>B5/(B6+1)</f>
        <v>1000000</v>
      </c>
      <c r="C7" s="16" t="s">
        <v>2</v>
      </c>
    </row>
    <row r="8" spans="1:3" x14ac:dyDescent="0.25">
      <c r="A8" s="27" t="s">
        <v>25</v>
      </c>
      <c r="B8" s="27">
        <f>B7/2</f>
        <v>500000</v>
      </c>
      <c r="C8" s="16" t="s">
        <v>2</v>
      </c>
    </row>
    <row r="9" spans="1:3" x14ac:dyDescent="0.25">
      <c r="A9" s="27" t="s">
        <v>26</v>
      </c>
      <c r="B9" s="27">
        <f>B7/(2*(B4+1))</f>
        <v>7.62939453125</v>
      </c>
      <c r="C9" s="16" t="s">
        <v>2</v>
      </c>
    </row>
    <row r="10" spans="1:3" x14ac:dyDescent="0.25">
      <c r="A10" s="15" t="s">
        <v>27</v>
      </c>
      <c r="B10" s="27">
        <f>B7/2*(1/(B4)-1/(B4+1))</f>
        <v>1.1641709821087927E-4</v>
      </c>
      <c r="C10" s="16" t="s">
        <v>2</v>
      </c>
    </row>
    <row r="11" spans="1:3" x14ac:dyDescent="0.25">
      <c r="A11" s="15" t="s">
        <v>28</v>
      </c>
      <c r="B11" s="27">
        <f>B7/2*(1/1-1/2)</f>
        <v>250000</v>
      </c>
      <c r="C11" s="16" t="s">
        <v>2</v>
      </c>
    </row>
  </sheetData>
  <dataValidations count="2">
    <dataValidation type="list" operator="equal" allowBlank="1" showInputMessage="1" showErrorMessage="1" sqref="B3" xr:uid="{38753F13-8DF5-45FE-A836-E161F59A384F}">
      <formula1>"16,32"</formula1>
    </dataValidation>
    <dataValidation type="whole" allowBlank="1" showInputMessage="1" showErrorMessage="1" errorTitle="TIMx_PSC out of range" error="TIMx_PSC must be an integer between 0 and TIMxARR." sqref="B6" xr:uid="{CF9E5EA6-4657-41B0-88F3-22F711A64032}">
      <formula1>0</formula1>
      <formula2>B4</formula2>
    </dataValidation>
  </dataValidations>
  <pageMargins left="0.7" right="0.7" top="0.75" bottom="0.75" header="0.3" footer="0.3"/>
  <pageSetup paperSize="9" orientation="portrait" r:id="rId1"/>
  <ignoredErrors>
    <ignoredError sqref="B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Pulse Generator</vt:lpstr>
      <vt:lpstr>Clock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Sánchez</cp:lastModifiedBy>
  <dcterms:created xsi:type="dcterms:W3CDTF">2015-06-05T18:17:20Z</dcterms:created>
  <dcterms:modified xsi:type="dcterms:W3CDTF">2026-10-01T00:23:07Z</dcterms:modified>
</cp:coreProperties>
</file>